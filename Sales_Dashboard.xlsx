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SHITH\Downloads\Sales-Dashboard\"/>
    </mc:Choice>
  </mc:AlternateContent>
  <xr:revisionPtr revIDLastSave="0" documentId="8_{A9D68E02-FD5A-4926-A8A7-E9DA080B32F9}" xr6:coauthVersionLast="47" xr6:coauthVersionMax="47" xr10:uidLastSave="{00000000-0000-0000-0000-000000000000}"/>
  <bookViews>
    <workbookView xWindow="-108" yWindow="-108" windowWidth="23256" windowHeight="12456" activeTab="3" xr2:uid="{94A1AE3A-3884-4142-939B-A72DCAE5B87F}"/>
  </bookViews>
  <sheets>
    <sheet name="Sheet6" sheetId="6" r:id="rId1"/>
    <sheet name="Sheet4" sheetId="4" r:id="rId2"/>
    <sheet name="sheet1" sheetId="1" r:id="rId3"/>
    <sheet name="Dashboard" sheetId="5" r:id="rId4"/>
  </sheets>
  <definedNames>
    <definedName name="Slicer_Category">#N/A</definedName>
    <definedName name="Slicer_Department">#N/A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F5" i="5"/>
  <c r="D5" i="5"/>
  <c r="B5" i="5"/>
</calcChain>
</file>

<file path=xl/sharedStrings.xml><?xml version="1.0" encoding="utf-8"?>
<sst xmlns="http://schemas.openxmlformats.org/spreadsheetml/2006/main" count="159" uniqueCount="62">
  <si>
    <t>Employee</t>
  </si>
  <si>
    <t>Department</t>
  </si>
  <si>
    <t>IT</t>
  </si>
  <si>
    <t>HR</t>
  </si>
  <si>
    <t>Sales</t>
  </si>
  <si>
    <t>Finance</t>
  </si>
  <si>
    <t>Rahul Shetty</t>
  </si>
  <si>
    <t>Priya Sharma</t>
  </si>
  <si>
    <t>Amit Patel</t>
  </si>
  <si>
    <t>Sneha Kapoor</t>
  </si>
  <si>
    <t>Rohit Mehta</t>
  </si>
  <si>
    <t>Order ID</t>
  </si>
  <si>
    <t>ORD001</t>
  </si>
  <si>
    <t>ORD002</t>
  </si>
  <si>
    <t>ORD003</t>
  </si>
  <si>
    <t>ORD004</t>
  </si>
  <si>
    <t>ORD005</t>
  </si>
  <si>
    <t>Category</t>
  </si>
  <si>
    <t>Date</t>
  </si>
  <si>
    <t>Product</t>
  </si>
  <si>
    <t>Quantity</t>
  </si>
  <si>
    <t>Profit</t>
  </si>
  <si>
    <t>Region</t>
  </si>
  <si>
    <t>Laptop</t>
  </si>
  <si>
    <t>Electronics</t>
  </si>
  <si>
    <t>West</t>
  </si>
  <si>
    <t>Chair</t>
  </si>
  <si>
    <t>Furniture</t>
  </si>
  <si>
    <t>South</t>
  </si>
  <si>
    <t>Monitor</t>
  </si>
  <si>
    <t>Desk</t>
  </si>
  <si>
    <t>North</t>
  </si>
  <si>
    <t>East</t>
  </si>
  <si>
    <t>Row Labels</t>
  </si>
  <si>
    <t>Grand Total</t>
  </si>
  <si>
    <t>Sum of Sales</t>
  </si>
  <si>
    <t>Column Labels</t>
  </si>
  <si>
    <t>(All)</t>
  </si>
  <si>
    <t>Total Sales</t>
  </si>
  <si>
    <t>Total Profit</t>
  </si>
  <si>
    <t>Total Quantity</t>
  </si>
  <si>
    <t>Total Orders</t>
  </si>
  <si>
    <t>ORD006</t>
  </si>
  <si>
    <t>Keyboard</t>
  </si>
  <si>
    <t>ORD007</t>
  </si>
  <si>
    <t>Table</t>
  </si>
  <si>
    <t>ORD008</t>
  </si>
  <si>
    <t>Mouse</t>
  </si>
  <si>
    <t>ORD009</t>
  </si>
  <si>
    <t>ORD010</t>
  </si>
  <si>
    <t>ORD011</t>
  </si>
  <si>
    <t>ORD012</t>
  </si>
  <si>
    <t>ORD013</t>
  </si>
  <si>
    <t>ORD014</t>
  </si>
  <si>
    <t>ORD015</t>
  </si>
  <si>
    <t>ORD016</t>
  </si>
  <si>
    <t>ORD017</t>
  </si>
  <si>
    <t>ORD018</t>
  </si>
  <si>
    <t>ORD019</t>
  </si>
  <si>
    <t>ORD020</t>
  </si>
  <si>
    <t>Sales Performance Dashboard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</si>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</sst>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 #,##0.00"/>
  </numFmts>
  <fonts count="4" x14ac:knownFonts="1">
    <font>
      <sz val="11"/>
      <color theme="1"/>
      <name val="Aptos Narrow"/>
      <family val="2"/>
      <scheme val="minor"/>
    </font>
    <font>
      <b/>
      <sz val="11"/>
      <color theme="1"/>
      <name val="Aptos Narrow"/>
      <family val="2"/>
      <scheme val="minor"/>
    </font>
    <font>
      <b/>
      <sz val="22"/>
      <color theme="1"/>
      <name val="Aptos Narrow"/>
      <family val="2"/>
      <scheme val="minor"/>
    </font>
    <font>
      <b/>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vertical="center"/>
    </xf>
    <xf numFmtId="0" fontId="1" fillId="0" borderId="0" xfId="0" applyFont="1" applyAlignment="1">
      <alignment horizontal="center"/>
    </xf>
    <xf numFmtId="0" fontId="3" fillId="0" borderId="0" xfId="0" applyFont="1"/>
    <xf numFmtId="170" fontId="3" fillId="0" borderId="0" xfId="0" applyNumberFormat="1" applyFont="1"/>
  </cellXfs>
  <cellStyles count="1">
    <cellStyle name="Normal" xfId="0" builtinId="0"/>
  </cellStyles>
  <dxfs count="12">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Electronics</c:v>
                </c:pt>
              </c:strCache>
            </c:strRef>
          </c:tx>
          <c:spPr>
            <a:solidFill>
              <a:schemeClr val="accent1"/>
            </a:solidFill>
            <a:ln>
              <a:noFill/>
            </a:ln>
            <a:effectLst/>
          </c:spPr>
          <c:invertIfNegative val="0"/>
          <c:cat>
            <c:strRef>
              <c:f>Sheet4!$A$5:$A$9</c:f>
              <c:strCache>
                <c:ptCount val="4"/>
                <c:pt idx="0">
                  <c:v>Finance</c:v>
                </c:pt>
                <c:pt idx="1">
                  <c:v>HR</c:v>
                </c:pt>
                <c:pt idx="2">
                  <c:v>IT</c:v>
                </c:pt>
                <c:pt idx="3">
                  <c:v>Sales</c:v>
                </c:pt>
              </c:strCache>
            </c:strRef>
          </c:cat>
          <c:val>
            <c:numRef>
              <c:f>Sheet4!$B$5:$B$9</c:f>
              <c:numCache>
                <c:formatCode>General</c:formatCode>
                <c:ptCount val="4"/>
                <c:pt idx="0">
                  <c:v>210000</c:v>
                </c:pt>
                <c:pt idx="2">
                  <c:v>320000</c:v>
                </c:pt>
              </c:numCache>
            </c:numRef>
          </c:val>
          <c:extLst>
            <c:ext xmlns:c16="http://schemas.microsoft.com/office/drawing/2014/chart" uri="{C3380CC4-5D6E-409C-BE32-E72D297353CC}">
              <c16:uniqueId val="{00000000-4069-4701-986B-F3908A7C5BE8}"/>
            </c:ext>
          </c:extLst>
        </c:ser>
        <c:ser>
          <c:idx val="1"/>
          <c:order val="1"/>
          <c:tx>
            <c:strRef>
              <c:f>Sheet4!$C$3:$C$4</c:f>
              <c:strCache>
                <c:ptCount val="1"/>
                <c:pt idx="0">
                  <c:v>Furniture</c:v>
                </c:pt>
              </c:strCache>
            </c:strRef>
          </c:tx>
          <c:spPr>
            <a:solidFill>
              <a:schemeClr val="accent2"/>
            </a:solidFill>
            <a:ln>
              <a:noFill/>
            </a:ln>
            <a:effectLst/>
          </c:spPr>
          <c:invertIfNegative val="0"/>
          <c:cat>
            <c:strRef>
              <c:f>Sheet4!$A$5:$A$9</c:f>
              <c:strCache>
                <c:ptCount val="4"/>
                <c:pt idx="0">
                  <c:v>Finance</c:v>
                </c:pt>
                <c:pt idx="1">
                  <c:v>HR</c:v>
                </c:pt>
                <c:pt idx="2">
                  <c:v>IT</c:v>
                </c:pt>
                <c:pt idx="3">
                  <c:v>Sales</c:v>
                </c:pt>
              </c:strCache>
            </c:strRef>
          </c:cat>
          <c:val>
            <c:numRef>
              <c:f>Sheet4!$C$5:$C$9</c:f>
              <c:numCache>
                <c:formatCode>General</c:formatCode>
                <c:ptCount val="4"/>
                <c:pt idx="1">
                  <c:v>120000</c:v>
                </c:pt>
                <c:pt idx="3">
                  <c:v>165000</c:v>
                </c:pt>
              </c:numCache>
            </c:numRef>
          </c:val>
          <c:extLst>
            <c:ext xmlns:c16="http://schemas.microsoft.com/office/drawing/2014/chart" uri="{C3380CC4-5D6E-409C-BE32-E72D297353CC}">
              <c16:uniqueId val="{0000000A-4069-4701-986B-F3908A7C5BE8}"/>
            </c:ext>
          </c:extLst>
        </c:ser>
        <c:dLbls>
          <c:showLegendKey val="0"/>
          <c:showVal val="0"/>
          <c:showCatName val="0"/>
          <c:showSerName val="0"/>
          <c:showPercent val="0"/>
          <c:showBubbleSize val="0"/>
        </c:dLbls>
        <c:gapWidth val="219"/>
        <c:axId val="156060943"/>
        <c:axId val="123871375"/>
      </c:barChart>
      <c:catAx>
        <c:axId val="1560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71375"/>
        <c:crosses val="autoZero"/>
        <c:auto val="1"/>
        <c:lblAlgn val="ctr"/>
        <c:lblOffset val="100"/>
        <c:noMultiLvlLbl val="0"/>
      </c:catAx>
      <c:valAx>
        <c:axId val="12387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Sheet6!$B$4</c:f>
              <c:strCache>
                <c:ptCount val="1"/>
                <c:pt idx="0">
                  <c:v>Total</c:v>
                </c:pt>
              </c:strCache>
            </c:strRef>
          </c:tx>
          <c:spPr>
            <a:solidFill>
              <a:schemeClr val="accent1"/>
            </a:solidFill>
            <a:ln>
              <a:noFill/>
            </a:ln>
            <a:effectLst/>
          </c:spPr>
          <c:invertIfNegative val="0"/>
          <c:cat>
            <c:strRef>
              <c:f>Sheet6!$A$5:$A$9</c:f>
              <c:strCache>
                <c:ptCount val="4"/>
                <c:pt idx="0">
                  <c:v>Finance</c:v>
                </c:pt>
                <c:pt idx="1">
                  <c:v>HR</c:v>
                </c:pt>
                <c:pt idx="2">
                  <c:v>IT</c:v>
                </c:pt>
                <c:pt idx="3">
                  <c:v>Sales</c:v>
                </c:pt>
              </c:strCache>
            </c:strRef>
          </c:cat>
          <c:val>
            <c:numRef>
              <c:f>Sheet6!$B$5:$B$9</c:f>
              <c:numCache>
                <c:formatCode>General</c:formatCode>
                <c:ptCount val="4"/>
                <c:pt idx="0">
                  <c:v>30500</c:v>
                </c:pt>
                <c:pt idx="1">
                  <c:v>23000</c:v>
                </c:pt>
                <c:pt idx="2">
                  <c:v>51500</c:v>
                </c:pt>
                <c:pt idx="3">
                  <c:v>29200</c:v>
                </c:pt>
              </c:numCache>
            </c:numRef>
          </c:val>
          <c:extLst>
            <c:ext xmlns:c16="http://schemas.microsoft.com/office/drawing/2014/chart" uri="{C3380CC4-5D6E-409C-BE32-E72D297353CC}">
              <c16:uniqueId val="{00000000-09C5-4DCC-B54D-A5883B284B7C}"/>
            </c:ext>
          </c:extLst>
        </c:ser>
        <c:dLbls>
          <c:showLegendKey val="0"/>
          <c:showVal val="0"/>
          <c:showCatName val="0"/>
          <c:showSerName val="0"/>
          <c:showPercent val="0"/>
          <c:showBubbleSize val="0"/>
        </c:dLbls>
        <c:gapWidth val="219"/>
        <c:overlap val="-27"/>
        <c:axId val="159366495"/>
        <c:axId val="159603983"/>
      </c:barChart>
      <c:catAx>
        <c:axId val="15936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03983"/>
        <c:crosses val="autoZero"/>
        <c:auto val="1"/>
        <c:lblAlgn val="ctr"/>
        <c:lblOffset val="100"/>
        <c:noMultiLvlLbl val="0"/>
      </c:catAx>
      <c:valAx>
        <c:axId val="15960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6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356420</xdr:colOff>
      <xdr:row>14</xdr:row>
      <xdr:rowOff>147484</xdr:rowOff>
    </xdr:from>
    <xdr:to>
      <xdr:col>5</xdr:col>
      <xdr:colOff>645980</xdr:colOff>
      <xdr:row>29</xdr:row>
      <xdr:rowOff>147485</xdr:rowOff>
    </xdr:to>
    <xdr:graphicFrame macro="">
      <xdr:nvGraphicFramePr>
        <xdr:cNvPr id="2" name="Chart 1">
          <a:extLst>
            <a:ext uri="{FF2B5EF4-FFF2-40B4-BE49-F238E27FC236}">
              <a16:creationId xmlns:a16="http://schemas.microsoft.com/office/drawing/2014/main" id="{E8ECFF7C-8687-49D6-AA15-FA13262D4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614515</xdr:colOff>
      <xdr:row>6</xdr:row>
      <xdr:rowOff>0</xdr:rowOff>
    </xdr:from>
    <xdr:to>
      <xdr:col>2</xdr:col>
      <xdr:colOff>5899</xdr:colOff>
      <xdr:row>14</xdr:row>
      <xdr:rowOff>45720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068CB25-FE4B-4BA6-9AB3-143E0C2994C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6895" y="1376516"/>
              <a:ext cx="1844778" cy="152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22861</xdr:colOff>
      <xdr:row>6</xdr:row>
      <xdr:rowOff>0</xdr:rowOff>
    </xdr:from>
    <xdr:to>
      <xdr:col>3</xdr:col>
      <xdr:colOff>1251893</xdr:colOff>
      <xdr:row>11</xdr:row>
      <xdr:rowOff>30480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B098C2D-D3D2-4030-B0EA-AA09F91D9C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68635" y="1376516"/>
              <a:ext cx="1843548" cy="952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1257792</xdr:colOff>
      <xdr:row>5</xdr:row>
      <xdr:rowOff>183864</xdr:rowOff>
    </xdr:from>
    <xdr:to>
      <xdr:col>5</xdr:col>
      <xdr:colOff>600505</xdr:colOff>
      <xdr:row>14</xdr:row>
      <xdr:rowOff>83328</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935A6F4-45AE-47AE-9E19-054DCE305D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18082" y="1376025"/>
              <a:ext cx="1837649" cy="1558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528484</xdr:colOff>
      <xdr:row>30</xdr:row>
      <xdr:rowOff>22861</xdr:rowOff>
    </xdr:from>
    <xdr:to>
      <xdr:col>5</xdr:col>
      <xdr:colOff>818044</xdr:colOff>
      <xdr:row>45</xdr:row>
      <xdr:rowOff>22860</xdr:rowOff>
    </xdr:to>
    <xdr:graphicFrame macro="">
      <xdr:nvGraphicFramePr>
        <xdr:cNvPr id="6" name="Chart 5">
          <a:extLst>
            <a:ext uri="{FF2B5EF4-FFF2-40B4-BE49-F238E27FC236}">
              <a16:creationId xmlns:a16="http://schemas.microsoft.com/office/drawing/2014/main" id="{BC7848BD-FD70-4998-97BC-7FF11DC38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TH" refreshedDate="46288.509810185184" createdVersion="8" refreshedVersion="8" minRefreshableVersion="3" recordCount="20" xr:uid="{CC1C1935-73E9-430C-903D-BCD134E17C81}">
  <cacheSource type="worksheet">
    <worksheetSource name="SalesData"/>
  </cacheSource>
  <cacheFields count="10">
    <cacheField name="Order ID" numFmtId="0">
      <sharedItems/>
    </cacheField>
    <cacheField name="Date" numFmtId="14">
      <sharedItems containsSemiMixedTypes="0" containsNonDate="0" containsDate="1" containsString="0" minDate="2024-01-03T00:00:00" maxDate="2024-12-07T00:00:00"/>
    </cacheField>
    <cacheField name="Employee" numFmtId="0">
      <sharedItems/>
    </cacheField>
    <cacheField name="Department" numFmtId="0">
      <sharedItems count="4">
        <s v="IT"/>
        <s v="HR"/>
        <s v="Sales"/>
        <s v="Finance"/>
      </sharedItems>
    </cacheField>
    <cacheField name="Product" numFmtId="0">
      <sharedItems/>
    </cacheField>
    <cacheField name="Category" numFmtId="0">
      <sharedItems count="2">
        <s v="Electronics"/>
        <s v="Furniture"/>
      </sharedItems>
    </cacheField>
    <cacheField name="Quantity" numFmtId="0">
      <sharedItems containsSemiMixedTypes="0" containsString="0" containsNumber="1" containsInteger="1" minValue="1" maxValue="20"/>
    </cacheField>
    <cacheField name="Sales" numFmtId="0">
      <sharedItems containsSemiMixedTypes="0" containsString="0" containsNumber="1" containsInteger="1" minValue="15000" maxValue="90000"/>
    </cacheField>
    <cacheField name="Profit" numFmtId="0">
      <sharedItems containsSemiMixedTypes="0" containsString="0" containsNumber="1" containsInteger="1" minValue="3000" maxValue="12000"/>
    </cacheField>
    <cacheField name="Region" numFmtId="0">
      <sharedItems count="4">
        <s v="West"/>
        <s v="South"/>
        <s v="North"/>
        <s v="East"/>
      </sharedItems>
    </cacheField>
  </cacheFields>
  <extLst>
    <ext xmlns:x14="http://schemas.microsoft.com/office/spreadsheetml/2009/9/main" uri="{725AE2AE-9491-48be-B2B4-4EB974FC3084}">
      <x14:pivotCacheDefinition pivotCacheId="1351781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001"/>
    <d v="2024-01-15T00:00:00"/>
    <s v="Rahul Shetty"/>
    <x v="0"/>
    <s v="Laptop"/>
    <x v="0"/>
    <n v="2"/>
    <n v="90000"/>
    <n v="12000"/>
    <x v="0"/>
  </r>
  <r>
    <s v="ORD002"/>
    <d v="2024-03-22T00:00:00"/>
    <s v="Priya Sharma"/>
    <x v="1"/>
    <s v="Chair"/>
    <x v="1"/>
    <n v="5"/>
    <n v="30000"/>
    <n v="6000"/>
    <x v="1"/>
  </r>
  <r>
    <s v="ORD003"/>
    <d v="2024-07-10T00:00:00"/>
    <s v="Amit Patel"/>
    <x v="0"/>
    <s v="Monitor"/>
    <x v="0"/>
    <n v="3"/>
    <n v="45000"/>
    <n v="7500"/>
    <x v="0"/>
  </r>
  <r>
    <s v="ORD004"/>
    <d v="2024-11-05T00:00:00"/>
    <s v="Sneha Kapoor"/>
    <x v="2"/>
    <s v="Desk"/>
    <x v="1"/>
    <n v="4"/>
    <n v="60000"/>
    <n v="10000"/>
    <x v="2"/>
  </r>
  <r>
    <s v="ORD005"/>
    <d v="2024-09-18T00:00:00"/>
    <s v="Rohit Mehta"/>
    <x v="3"/>
    <s v="Laptop"/>
    <x v="0"/>
    <n v="1"/>
    <n v="45000"/>
    <n v="6000"/>
    <x v="3"/>
  </r>
  <r>
    <s v="ORD006"/>
    <d v="2024-02-12T00:00:00"/>
    <s v="Rahul Shetty"/>
    <x v="0"/>
    <s v="Keyboard"/>
    <x v="0"/>
    <n v="10"/>
    <n v="25000"/>
    <n v="5000"/>
    <x v="0"/>
  </r>
  <r>
    <s v="ORD007"/>
    <d v="2024-04-25T00:00:00"/>
    <s v="Priya Sharma"/>
    <x v="1"/>
    <s v="Table"/>
    <x v="1"/>
    <n v="3"/>
    <n v="36000"/>
    <n v="7200"/>
    <x v="1"/>
  </r>
  <r>
    <s v="ORD008"/>
    <d v="2024-06-08T00:00:00"/>
    <s v="Amit Patel"/>
    <x v="0"/>
    <s v="Mouse"/>
    <x v="0"/>
    <n v="15"/>
    <n v="15000"/>
    <n v="3000"/>
    <x v="0"/>
  </r>
  <r>
    <s v="ORD009"/>
    <d v="2024-08-14T00:00:00"/>
    <s v="Sneha Kapoor"/>
    <x v="2"/>
    <s v="Chair"/>
    <x v="1"/>
    <n v="6"/>
    <n v="36000"/>
    <n v="7200"/>
    <x v="2"/>
  </r>
  <r>
    <s v="ORD010"/>
    <d v="2024-10-20T00:00:00"/>
    <s v="Rohit Mehta"/>
    <x v="3"/>
    <s v="Monitor"/>
    <x v="0"/>
    <n v="2"/>
    <n v="30000"/>
    <n v="5000"/>
    <x v="3"/>
  </r>
  <r>
    <s v="ORD011"/>
    <d v="2024-01-03T00:00:00"/>
    <s v="Rahul Shetty"/>
    <x v="0"/>
    <s v="Laptop"/>
    <x v="0"/>
    <n v="1"/>
    <n v="45000"/>
    <n v="6000"/>
    <x v="0"/>
  </r>
  <r>
    <s v="ORD012"/>
    <d v="2024-05-17T00:00:00"/>
    <s v="Priya Sharma"/>
    <x v="1"/>
    <s v="Desk"/>
    <x v="1"/>
    <n v="2"/>
    <n v="30000"/>
    <n v="5000"/>
    <x v="1"/>
  </r>
  <r>
    <s v="ORD013"/>
    <d v="2024-07-29T00:00:00"/>
    <s v="Amit Patel"/>
    <x v="0"/>
    <s v="Monitor"/>
    <x v="0"/>
    <n v="4"/>
    <n v="60000"/>
    <n v="10000"/>
    <x v="0"/>
  </r>
  <r>
    <s v="ORD014"/>
    <d v="2024-09-11T00:00:00"/>
    <s v="Sneha Kapoor"/>
    <x v="2"/>
    <s v="Table"/>
    <x v="1"/>
    <n v="2"/>
    <n v="24000"/>
    <n v="4500"/>
    <x v="2"/>
  </r>
  <r>
    <s v="ORD015"/>
    <d v="2024-12-06T00:00:00"/>
    <s v="Rohit Mehta"/>
    <x v="3"/>
    <s v="Laptop"/>
    <x v="0"/>
    <n v="2"/>
    <n v="90000"/>
    <n v="12000"/>
    <x v="3"/>
  </r>
  <r>
    <s v="ORD016"/>
    <d v="2024-02-19T00:00:00"/>
    <s v="Rahul Shetty"/>
    <x v="0"/>
    <s v="Mouse"/>
    <x v="0"/>
    <n v="20"/>
    <n v="20000"/>
    <n v="4000"/>
    <x v="0"/>
  </r>
  <r>
    <s v="ORD017"/>
    <d v="2024-06-23T00:00:00"/>
    <s v="Priya Sharma"/>
    <x v="1"/>
    <s v="Chair"/>
    <x v="1"/>
    <n v="4"/>
    <n v="24000"/>
    <n v="4800"/>
    <x v="1"/>
  </r>
  <r>
    <s v="ORD018"/>
    <d v="2024-08-15T00:00:00"/>
    <s v="Amit Patel"/>
    <x v="0"/>
    <s v="Keyboard"/>
    <x v="0"/>
    <n v="8"/>
    <n v="20000"/>
    <n v="4000"/>
    <x v="0"/>
  </r>
  <r>
    <s v="ORD019"/>
    <d v="2024-10-30T00:00:00"/>
    <s v="Sneha Kapoor"/>
    <x v="2"/>
    <s v="Desk"/>
    <x v="1"/>
    <n v="3"/>
    <n v="45000"/>
    <n v="7500"/>
    <x v="2"/>
  </r>
  <r>
    <s v="ORD020"/>
    <d v="2024-11-21T00:00:00"/>
    <s v="Rohit Mehta"/>
    <x v="3"/>
    <s v="Monitor"/>
    <x v="0"/>
    <n v="3"/>
    <n v="45000"/>
    <n v="75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0B5B3-1B95-4889-9A93-FCB05E49C8B6}"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9" firstHeaderRow="1" firstDataRow="1" firstDataCol="1" rowPageCount="2" colPageCount="1"/>
  <pivotFields count="10">
    <pivotField showAll="0"/>
    <pivotField numFmtId="14" showAll="0"/>
    <pivotField showAll="0"/>
    <pivotField axis="axisRow" showAll="0">
      <items count="5">
        <item x="3"/>
        <item x="1"/>
        <item x="0"/>
        <item x="2"/>
        <item t="default"/>
      </items>
    </pivotField>
    <pivotField showAll="0"/>
    <pivotField axis="axisPage" showAll="0">
      <items count="3">
        <item x="0"/>
        <item x="1"/>
        <item t="default"/>
      </items>
    </pivotField>
    <pivotField showAll="0"/>
    <pivotField showAll="0"/>
    <pivotField dataField="1" showAll="0"/>
    <pivotField axis="axisPage" showAll="0">
      <items count="5">
        <item x="3"/>
        <item x="2"/>
        <item x="1"/>
        <item x="0"/>
        <item t="default"/>
      </items>
    </pivotField>
  </pivotFields>
  <rowFields count="1">
    <field x="3"/>
  </rowFields>
  <rowItems count="5">
    <i>
      <x/>
    </i>
    <i>
      <x v="1"/>
    </i>
    <i>
      <x v="2"/>
    </i>
    <i>
      <x v="3"/>
    </i>
    <i t="grand">
      <x/>
    </i>
  </rowItems>
  <colItems count="1">
    <i/>
  </colItems>
  <pageFields count="2">
    <pageField fld="5" hier="-1"/>
    <pageField fld="9" hier="-1"/>
  </pageFields>
  <dataFields count="1">
    <dataField name="Sum of Profit" fld="8"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C32859-F4E7-46D3-9BED-75E018A1EAC3}"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rowPageCount="1" colPageCount="1"/>
  <pivotFields count="10">
    <pivotField showAll="0"/>
    <pivotField numFmtId="14" showAll="0"/>
    <pivotField showAll="0"/>
    <pivotField axis="axisRow" showAll="0">
      <items count="5">
        <item x="3"/>
        <item x="1"/>
        <item x="0"/>
        <item x="2"/>
        <item t="default"/>
      </items>
    </pivotField>
    <pivotField showAll="0"/>
    <pivotField axis="axisCol" showAll="0">
      <items count="3">
        <item x="0"/>
        <item x="1"/>
        <item t="default"/>
      </items>
    </pivotField>
    <pivotField showAll="0"/>
    <pivotField dataField="1" showAll="0"/>
    <pivotField showAll="0"/>
    <pivotField axis="axisPage" showAll="0">
      <items count="5">
        <item x="3"/>
        <item x="2"/>
        <item x="1"/>
        <item x="0"/>
        <item t="default"/>
      </items>
    </pivotField>
  </pivotFields>
  <rowFields count="1">
    <field x="3"/>
  </rowFields>
  <rowItems count="5">
    <i>
      <x/>
    </i>
    <i>
      <x v="1"/>
    </i>
    <i>
      <x v="2"/>
    </i>
    <i>
      <x v="3"/>
    </i>
    <i t="grand">
      <x/>
    </i>
  </rowItems>
  <colFields count="1">
    <field x="5"/>
  </colFields>
  <colItems count="3">
    <i>
      <x/>
    </i>
    <i>
      <x v="1"/>
    </i>
    <i t="grand">
      <x/>
    </i>
  </colItems>
  <pageFields count="1">
    <pageField fld="9" hier="-1"/>
  </pageFields>
  <dataFields count="1">
    <dataField name="Sum of Sales" fld="7" baseField="0" baseItem="0"/>
  </dataField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2D664A-B25B-462D-B4A3-E522C84FFADF}" sourceName="Department">
  <pivotTables>
    <pivotTable tabId="4" name="PivotTable3"/>
    <pivotTable tabId="6" name="PivotTable4"/>
  </pivotTables>
  <data>
    <tabular pivotCacheId="13517811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DB2431-9DB9-44A6-B48C-A165EF29AA23}" sourceName="Category">
  <pivotTables>
    <pivotTable tabId="4" name="PivotTable3"/>
    <pivotTable tabId="6" name="PivotTable4"/>
  </pivotTables>
  <data>
    <tabular pivotCacheId="13517811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D66704-86A5-4D2C-A683-7B4EF58C209F}" sourceName="Region">
  <pivotTables>
    <pivotTable tabId="4" name="PivotTable3"/>
    <pivotTable tabId="6" name="PivotTable4"/>
  </pivotTables>
  <data>
    <tabular pivotCacheId="135178110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F735D3D-54CA-4753-9796-DE07B2FA155F}" cache="Slicer_Department" caption="Department" rowHeight="247650"/>
  <slicer name="Category" xr10:uid="{24BC2E48-D44A-443D-9E33-070E92AD5952}" cache="Slicer_Category" caption="Category" rowHeight="247650"/>
  <slicer name="Region" xr10:uid="{0FECFEB5-17DF-4BBF-97D3-EF178668782D}"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A2C9C-9513-4511-A55E-33F391053B94}" name="SalesData" displayName="SalesData" ref="A1:J21" totalsRowShown="0" headerRowDxfId="0" dataDxfId="1">
  <autoFilter ref="A1:J21" xr:uid="{B28A2C9C-9513-4511-A55E-33F391053B94}"/>
  <tableColumns count="10">
    <tableColumn id="1" xr3:uid="{D31A6AE2-B49E-479E-B3A1-C40E420F3887}" name="Order ID" dataDxfId="11"/>
    <tableColumn id="2" xr3:uid="{DA01CF26-F578-46E0-8AF7-7A1A963F842E}" name="Date" dataDxfId="10"/>
    <tableColumn id="3" xr3:uid="{5FEE8992-B27F-45B5-A608-29ACFFD61DE0}" name="Employee" dataDxfId="9"/>
    <tableColumn id="4" xr3:uid="{BA74F01C-5AD8-4C85-9421-DDF24491D983}" name="Department" dataDxfId="8"/>
    <tableColumn id="5" xr3:uid="{B3C43B2C-728C-4329-9A3C-85049B29A8F2}" name="Product" dataDxfId="7"/>
    <tableColumn id="6" xr3:uid="{DE8F3B3E-EDBC-4F65-BBE6-C6A60701CB6B}" name="Category" dataDxfId="6"/>
    <tableColumn id="7" xr3:uid="{7EA566B3-E009-4A7B-ABD5-169CA325EBAE}" name="Quantity" dataDxfId="5"/>
    <tableColumn id="8" xr3:uid="{AB2C85D1-D226-42FD-B842-5E4D7E24A2A0}" name="Sales" dataDxfId="4"/>
    <tableColumn id="9" xr3:uid="{82F374CC-CE60-4B2A-90E5-CC23851AA696}" name="Profit" dataDxfId="3"/>
    <tableColumn id="10" xr3:uid="{F58482F3-543D-4969-AE39-43D095128BB5}" name="Region" dataDxfId="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701B-F131-4AC7-A7A8-93A0E98E5233}">
  <dimension ref="A1:B9"/>
  <sheetViews>
    <sheetView workbookViewId="0">
      <selection activeCell="B6" sqref="B6"/>
    </sheetView>
  </sheetViews>
  <sheetFormatPr defaultRowHeight="14.4" x14ac:dyDescent="0.3"/>
  <cols>
    <col min="1" max="1" width="12.44140625" bestFit="1" customWidth="1"/>
    <col min="2" max="2" width="11.5546875" bestFit="1" customWidth="1"/>
    <col min="3" max="3" width="8.5546875" bestFit="1" customWidth="1"/>
    <col min="4" max="4" width="10.5546875" bestFit="1" customWidth="1"/>
  </cols>
  <sheetData>
    <row r="1" spans="1:2" x14ac:dyDescent="0.3">
      <c r="A1" s="7" t="s">
        <v>17</v>
      </c>
      <c r="B1" t="s">
        <v>37</v>
      </c>
    </row>
    <row r="2" spans="1:2" x14ac:dyDescent="0.3">
      <c r="A2" s="7" t="s">
        <v>22</v>
      </c>
      <c r="B2" t="s">
        <v>37</v>
      </c>
    </row>
    <row r="4" spans="1:2" x14ac:dyDescent="0.3">
      <c r="A4" s="7" t="s">
        <v>33</v>
      </c>
      <c r="B4" t="s">
        <v>61</v>
      </c>
    </row>
    <row r="5" spans="1:2" x14ac:dyDescent="0.3">
      <c r="A5" s="8" t="s">
        <v>5</v>
      </c>
      <c r="B5" s="9">
        <v>30500</v>
      </c>
    </row>
    <row r="6" spans="1:2" x14ac:dyDescent="0.3">
      <c r="A6" s="8" t="s">
        <v>3</v>
      </c>
      <c r="B6" s="9">
        <v>23000</v>
      </c>
    </row>
    <row r="7" spans="1:2" x14ac:dyDescent="0.3">
      <c r="A7" s="8" t="s">
        <v>2</v>
      </c>
      <c r="B7" s="9">
        <v>51500</v>
      </c>
    </row>
    <row r="8" spans="1:2" x14ac:dyDescent="0.3">
      <c r="A8" s="8" t="s">
        <v>4</v>
      </c>
      <c r="B8" s="9">
        <v>29200</v>
      </c>
    </row>
    <row r="9" spans="1:2" x14ac:dyDescent="0.3">
      <c r="A9" s="8" t="s">
        <v>34</v>
      </c>
      <c r="B9" s="9">
        <v>134200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C394-B7AB-4EF3-8BDE-D9137F95BBE3}">
  <dimension ref="A1:D9"/>
  <sheetViews>
    <sheetView workbookViewId="0">
      <selection activeCell="E8" sqref="E8"/>
    </sheetView>
  </sheetViews>
  <sheetFormatPr defaultRowHeight="14.4" x14ac:dyDescent="0.3"/>
  <cols>
    <col min="1" max="1" width="12.44140625" bestFit="1" customWidth="1"/>
    <col min="2" max="2" width="15.5546875" bestFit="1" customWidth="1"/>
    <col min="3" max="3" width="8.5546875" bestFit="1" customWidth="1"/>
    <col min="4" max="4" width="10.5546875" bestFit="1" customWidth="1"/>
    <col min="5" max="5" width="11.5546875" bestFit="1" customWidth="1"/>
    <col min="6" max="7" width="16.109375" bestFit="1" customWidth="1"/>
  </cols>
  <sheetData>
    <row r="1" spans="1:4" x14ac:dyDescent="0.3">
      <c r="A1" s="7" t="s">
        <v>22</v>
      </c>
      <c r="B1" t="s">
        <v>37</v>
      </c>
    </row>
    <row r="3" spans="1:4" x14ac:dyDescent="0.3">
      <c r="A3" s="7" t="s">
        <v>35</v>
      </c>
      <c r="B3" s="7" t="s">
        <v>36</v>
      </c>
    </row>
    <row r="4" spans="1:4" x14ac:dyDescent="0.3">
      <c r="A4" s="7" t="s">
        <v>33</v>
      </c>
      <c r="B4" t="s">
        <v>24</v>
      </c>
      <c r="C4" t="s">
        <v>27</v>
      </c>
      <c r="D4" t="s">
        <v>34</v>
      </c>
    </row>
    <row r="5" spans="1:4" x14ac:dyDescent="0.3">
      <c r="A5" s="8" t="s">
        <v>5</v>
      </c>
      <c r="B5" s="9">
        <v>210000</v>
      </c>
      <c r="C5" s="9"/>
      <c r="D5" s="9">
        <v>210000</v>
      </c>
    </row>
    <row r="6" spans="1:4" x14ac:dyDescent="0.3">
      <c r="A6" s="8" t="s">
        <v>3</v>
      </c>
      <c r="B6" s="9"/>
      <c r="C6" s="9">
        <v>120000</v>
      </c>
      <c r="D6" s="9">
        <v>120000</v>
      </c>
    </row>
    <row r="7" spans="1:4" x14ac:dyDescent="0.3">
      <c r="A7" s="8" t="s">
        <v>2</v>
      </c>
      <c r="B7" s="9">
        <v>320000</v>
      </c>
      <c r="C7" s="9"/>
      <c r="D7" s="9">
        <v>320000</v>
      </c>
    </row>
    <row r="8" spans="1:4" x14ac:dyDescent="0.3">
      <c r="A8" s="8" t="s">
        <v>4</v>
      </c>
      <c r="B8" s="9"/>
      <c r="C8" s="9">
        <v>165000</v>
      </c>
      <c r="D8" s="9">
        <v>165000</v>
      </c>
    </row>
    <row r="9" spans="1:4" x14ac:dyDescent="0.3">
      <c r="A9" s="8" t="s">
        <v>34</v>
      </c>
      <c r="B9" s="9">
        <v>530000</v>
      </c>
      <c r="C9" s="9">
        <v>285000</v>
      </c>
      <c r="D9" s="9">
        <v>815000</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E1159-24CE-444F-9411-3DF523ACA88D}">
  <dimension ref="A1:J21"/>
  <sheetViews>
    <sheetView topLeftCell="A2" workbookViewId="0">
      <selection activeCell="B4" sqref="B4"/>
    </sheetView>
  </sheetViews>
  <sheetFormatPr defaultRowHeight="14.4" x14ac:dyDescent="0.3"/>
  <cols>
    <col min="1" max="1" width="11.33203125" customWidth="1"/>
    <col min="2" max="2" width="16.5546875" bestFit="1" customWidth="1"/>
    <col min="3" max="3" width="13.5546875" customWidth="1"/>
    <col min="4" max="4" width="12.88671875" customWidth="1"/>
    <col min="5" max="5" width="14.5546875" customWidth="1"/>
    <col min="6" max="6" width="10.21875" customWidth="1"/>
    <col min="7" max="7" width="10" customWidth="1"/>
    <col min="8" max="8" width="18.6640625" customWidth="1"/>
    <col min="9" max="9" width="17.6640625" customWidth="1"/>
    <col min="10" max="10" width="18.109375" customWidth="1"/>
  </cols>
  <sheetData>
    <row r="1" spans="1:10" s="6" customFormat="1" x14ac:dyDescent="0.3">
      <c r="A1" s="1" t="s">
        <v>11</v>
      </c>
      <c r="B1" s="1" t="s">
        <v>18</v>
      </c>
      <c r="C1" s="1" t="s">
        <v>0</v>
      </c>
      <c r="D1" s="1" t="s">
        <v>1</v>
      </c>
      <c r="E1" s="1" t="s">
        <v>19</v>
      </c>
      <c r="F1" s="1" t="s">
        <v>17</v>
      </c>
      <c r="G1" s="3" t="s">
        <v>20</v>
      </c>
      <c r="H1" s="3" t="s">
        <v>4</v>
      </c>
      <c r="I1" s="3" t="s">
        <v>21</v>
      </c>
      <c r="J1" s="1" t="s">
        <v>22</v>
      </c>
    </row>
    <row r="2" spans="1:10" ht="28.8" x14ac:dyDescent="0.3">
      <c r="A2" s="4" t="s">
        <v>12</v>
      </c>
      <c r="B2" s="5">
        <v>45306</v>
      </c>
      <c r="C2" s="4" t="s">
        <v>6</v>
      </c>
      <c r="D2" s="4" t="s">
        <v>2</v>
      </c>
      <c r="E2" s="4" t="s">
        <v>23</v>
      </c>
      <c r="F2" s="4" t="s">
        <v>24</v>
      </c>
      <c r="G2" s="2">
        <v>2</v>
      </c>
      <c r="H2" s="2">
        <v>90000</v>
      </c>
      <c r="I2" s="2">
        <v>12000</v>
      </c>
      <c r="J2" s="4" t="s">
        <v>25</v>
      </c>
    </row>
    <row r="3" spans="1:10" x14ac:dyDescent="0.3">
      <c r="A3" s="4" t="s">
        <v>13</v>
      </c>
      <c r="B3" s="5">
        <v>45373</v>
      </c>
      <c r="C3" s="4" t="s">
        <v>7</v>
      </c>
      <c r="D3" s="4" t="s">
        <v>3</v>
      </c>
      <c r="E3" s="4" t="s">
        <v>26</v>
      </c>
      <c r="F3" s="4" t="s">
        <v>27</v>
      </c>
      <c r="G3" s="2">
        <v>5</v>
      </c>
      <c r="H3" s="2">
        <v>30000</v>
      </c>
      <c r="I3" s="2">
        <v>6000</v>
      </c>
      <c r="J3" s="4" t="s">
        <v>28</v>
      </c>
    </row>
    <row r="4" spans="1:10" ht="28.8" x14ac:dyDescent="0.3">
      <c r="A4" s="4" t="s">
        <v>14</v>
      </c>
      <c r="B4" s="5">
        <v>45483</v>
      </c>
      <c r="C4" s="4" t="s">
        <v>8</v>
      </c>
      <c r="D4" s="4" t="s">
        <v>2</v>
      </c>
      <c r="E4" s="4" t="s">
        <v>29</v>
      </c>
      <c r="F4" s="4" t="s">
        <v>24</v>
      </c>
      <c r="G4" s="2">
        <v>3</v>
      </c>
      <c r="H4" s="2">
        <v>45000</v>
      </c>
      <c r="I4" s="2">
        <v>7500</v>
      </c>
      <c r="J4" s="4" t="s">
        <v>25</v>
      </c>
    </row>
    <row r="5" spans="1:10" x14ac:dyDescent="0.3">
      <c r="A5" s="4" t="s">
        <v>15</v>
      </c>
      <c r="B5" s="5">
        <v>45601</v>
      </c>
      <c r="C5" s="4" t="s">
        <v>9</v>
      </c>
      <c r="D5" s="4" t="s">
        <v>4</v>
      </c>
      <c r="E5" s="4" t="s">
        <v>30</v>
      </c>
      <c r="F5" s="4" t="s">
        <v>27</v>
      </c>
      <c r="G5" s="2">
        <v>4</v>
      </c>
      <c r="H5" s="2">
        <v>60000</v>
      </c>
      <c r="I5" s="2">
        <v>10000</v>
      </c>
      <c r="J5" s="4" t="s">
        <v>31</v>
      </c>
    </row>
    <row r="6" spans="1:10" x14ac:dyDescent="0.3">
      <c r="A6" s="4" t="s">
        <v>16</v>
      </c>
      <c r="B6" s="5">
        <v>45553</v>
      </c>
      <c r="C6" s="4" t="s">
        <v>10</v>
      </c>
      <c r="D6" s="4" t="s">
        <v>5</v>
      </c>
      <c r="E6" s="4" t="s">
        <v>23</v>
      </c>
      <c r="F6" s="4" t="s">
        <v>24</v>
      </c>
      <c r="G6" s="2">
        <v>1</v>
      </c>
      <c r="H6" s="2">
        <v>45000</v>
      </c>
      <c r="I6" s="2">
        <v>6000</v>
      </c>
      <c r="J6" s="4" t="s">
        <v>32</v>
      </c>
    </row>
    <row r="7" spans="1:10" ht="28.8" x14ac:dyDescent="0.3">
      <c r="A7" s="4" t="s">
        <v>42</v>
      </c>
      <c r="B7" s="5">
        <v>45334</v>
      </c>
      <c r="C7" s="4" t="s">
        <v>6</v>
      </c>
      <c r="D7" s="4" t="s">
        <v>2</v>
      </c>
      <c r="E7" s="4" t="s">
        <v>43</v>
      </c>
      <c r="F7" s="4" t="s">
        <v>24</v>
      </c>
      <c r="G7" s="2">
        <v>10</v>
      </c>
      <c r="H7" s="2">
        <v>25000</v>
      </c>
      <c r="I7" s="2">
        <v>5000</v>
      </c>
      <c r="J7" s="4" t="s">
        <v>25</v>
      </c>
    </row>
    <row r="8" spans="1:10" x14ac:dyDescent="0.3">
      <c r="A8" s="4" t="s">
        <v>44</v>
      </c>
      <c r="B8" s="5">
        <v>45407</v>
      </c>
      <c r="C8" s="4" t="s">
        <v>7</v>
      </c>
      <c r="D8" s="4" t="s">
        <v>3</v>
      </c>
      <c r="E8" s="4" t="s">
        <v>45</v>
      </c>
      <c r="F8" s="4" t="s">
        <v>27</v>
      </c>
      <c r="G8" s="2">
        <v>3</v>
      </c>
      <c r="H8" s="2">
        <v>36000</v>
      </c>
      <c r="I8" s="2">
        <v>7200</v>
      </c>
      <c r="J8" s="4" t="s">
        <v>28</v>
      </c>
    </row>
    <row r="9" spans="1:10" ht="28.8" x14ac:dyDescent="0.3">
      <c r="A9" s="4" t="s">
        <v>46</v>
      </c>
      <c r="B9" s="5">
        <v>45451</v>
      </c>
      <c r="C9" s="4" t="s">
        <v>8</v>
      </c>
      <c r="D9" s="4" t="s">
        <v>2</v>
      </c>
      <c r="E9" s="4" t="s">
        <v>47</v>
      </c>
      <c r="F9" s="4" t="s">
        <v>24</v>
      </c>
      <c r="G9" s="2">
        <v>15</v>
      </c>
      <c r="H9" s="2">
        <v>15000</v>
      </c>
      <c r="I9" s="2">
        <v>3000</v>
      </c>
      <c r="J9" s="4" t="s">
        <v>25</v>
      </c>
    </row>
    <row r="10" spans="1:10" x14ac:dyDescent="0.3">
      <c r="A10" s="4" t="s">
        <v>48</v>
      </c>
      <c r="B10" s="5">
        <v>45518</v>
      </c>
      <c r="C10" s="4" t="s">
        <v>9</v>
      </c>
      <c r="D10" s="4" t="s">
        <v>4</v>
      </c>
      <c r="E10" s="4" t="s">
        <v>26</v>
      </c>
      <c r="F10" s="4" t="s">
        <v>27</v>
      </c>
      <c r="G10" s="2">
        <v>6</v>
      </c>
      <c r="H10" s="2">
        <v>36000</v>
      </c>
      <c r="I10" s="2">
        <v>7200</v>
      </c>
      <c r="J10" s="4" t="s">
        <v>31</v>
      </c>
    </row>
    <row r="11" spans="1:10" ht="28.8" x14ac:dyDescent="0.3">
      <c r="A11" s="4" t="s">
        <v>49</v>
      </c>
      <c r="B11" s="5">
        <v>45585</v>
      </c>
      <c r="C11" s="4" t="s">
        <v>10</v>
      </c>
      <c r="D11" s="4" t="s">
        <v>5</v>
      </c>
      <c r="E11" s="4" t="s">
        <v>29</v>
      </c>
      <c r="F11" s="4" t="s">
        <v>24</v>
      </c>
      <c r="G11" s="2">
        <v>2</v>
      </c>
      <c r="H11" s="2">
        <v>30000</v>
      </c>
      <c r="I11" s="2">
        <v>5000</v>
      </c>
      <c r="J11" s="4" t="s">
        <v>32</v>
      </c>
    </row>
    <row r="12" spans="1:10" ht="28.8" x14ac:dyDescent="0.3">
      <c r="A12" s="4" t="s">
        <v>50</v>
      </c>
      <c r="B12" s="5">
        <v>45294</v>
      </c>
      <c r="C12" s="4" t="s">
        <v>6</v>
      </c>
      <c r="D12" s="4" t="s">
        <v>2</v>
      </c>
      <c r="E12" s="4" t="s">
        <v>23</v>
      </c>
      <c r="F12" s="4" t="s">
        <v>24</v>
      </c>
      <c r="G12" s="2">
        <v>1</v>
      </c>
      <c r="H12" s="2">
        <v>45000</v>
      </c>
      <c r="I12" s="2">
        <v>6000</v>
      </c>
      <c r="J12" s="4" t="s">
        <v>25</v>
      </c>
    </row>
    <row r="13" spans="1:10" x14ac:dyDescent="0.3">
      <c r="A13" s="4" t="s">
        <v>51</v>
      </c>
      <c r="B13" s="5">
        <v>45429</v>
      </c>
      <c r="C13" s="4" t="s">
        <v>7</v>
      </c>
      <c r="D13" s="4" t="s">
        <v>3</v>
      </c>
      <c r="E13" s="4" t="s">
        <v>30</v>
      </c>
      <c r="F13" s="4" t="s">
        <v>27</v>
      </c>
      <c r="G13" s="2">
        <v>2</v>
      </c>
      <c r="H13" s="2">
        <v>30000</v>
      </c>
      <c r="I13" s="2">
        <v>5000</v>
      </c>
      <c r="J13" s="4" t="s">
        <v>28</v>
      </c>
    </row>
    <row r="14" spans="1:10" ht="28.8" x14ac:dyDescent="0.3">
      <c r="A14" s="4" t="s">
        <v>52</v>
      </c>
      <c r="B14" s="5">
        <v>45502</v>
      </c>
      <c r="C14" s="4" t="s">
        <v>8</v>
      </c>
      <c r="D14" s="4" t="s">
        <v>2</v>
      </c>
      <c r="E14" s="4" t="s">
        <v>29</v>
      </c>
      <c r="F14" s="4" t="s">
        <v>24</v>
      </c>
      <c r="G14" s="2">
        <v>4</v>
      </c>
      <c r="H14" s="2">
        <v>60000</v>
      </c>
      <c r="I14" s="2">
        <v>10000</v>
      </c>
      <c r="J14" s="4" t="s">
        <v>25</v>
      </c>
    </row>
    <row r="15" spans="1:10" x14ac:dyDescent="0.3">
      <c r="A15" s="4" t="s">
        <v>53</v>
      </c>
      <c r="B15" s="5">
        <v>45546</v>
      </c>
      <c r="C15" s="4" t="s">
        <v>9</v>
      </c>
      <c r="D15" s="4" t="s">
        <v>4</v>
      </c>
      <c r="E15" s="4" t="s">
        <v>45</v>
      </c>
      <c r="F15" s="4" t="s">
        <v>27</v>
      </c>
      <c r="G15" s="2">
        <v>2</v>
      </c>
      <c r="H15" s="2">
        <v>24000</v>
      </c>
      <c r="I15" s="2">
        <v>4500</v>
      </c>
      <c r="J15" s="4" t="s">
        <v>31</v>
      </c>
    </row>
    <row r="16" spans="1:10" ht="28.8" x14ac:dyDescent="0.3">
      <c r="A16" s="4" t="s">
        <v>54</v>
      </c>
      <c r="B16" s="5">
        <v>45632</v>
      </c>
      <c r="C16" s="4" t="s">
        <v>10</v>
      </c>
      <c r="D16" s="4" t="s">
        <v>5</v>
      </c>
      <c r="E16" s="4" t="s">
        <v>23</v>
      </c>
      <c r="F16" s="4" t="s">
        <v>24</v>
      </c>
      <c r="G16" s="2">
        <v>2</v>
      </c>
      <c r="H16" s="2">
        <v>90000</v>
      </c>
      <c r="I16" s="2">
        <v>12000</v>
      </c>
      <c r="J16" s="4" t="s">
        <v>32</v>
      </c>
    </row>
    <row r="17" spans="1:10" ht="28.8" x14ac:dyDescent="0.3">
      <c r="A17" s="4" t="s">
        <v>55</v>
      </c>
      <c r="B17" s="5">
        <v>45341</v>
      </c>
      <c r="C17" s="4" t="s">
        <v>6</v>
      </c>
      <c r="D17" s="4" t="s">
        <v>2</v>
      </c>
      <c r="E17" s="4" t="s">
        <v>47</v>
      </c>
      <c r="F17" s="4" t="s">
        <v>24</v>
      </c>
      <c r="G17" s="2">
        <v>20</v>
      </c>
      <c r="H17" s="2">
        <v>20000</v>
      </c>
      <c r="I17" s="2">
        <v>4000</v>
      </c>
      <c r="J17" s="4" t="s">
        <v>25</v>
      </c>
    </row>
    <row r="18" spans="1:10" x14ac:dyDescent="0.3">
      <c r="A18" s="4" t="s">
        <v>56</v>
      </c>
      <c r="B18" s="5">
        <v>45466</v>
      </c>
      <c r="C18" s="4" t="s">
        <v>7</v>
      </c>
      <c r="D18" s="4" t="s">
        <v>3</v>
      </c>
      <c r="E18" s="4" t="s">
        <v>26</v>
      </c>
      <c r="F18" s="4" t="s">
        <v>27</v>
      </c>
      <c r="G18" s="2">
        <v>4</v>
      </c>
      <c r="H18" s="2">
        <v>24000</v>
      </c>
      <c r="I18" s="2">
        <v>4800</v>
      </c>
      <c r="J18" s="4" t="s">
        <v>28</v>
      </c>
    </row>
    <row r="19" spans="1:10" ht="28.8" x14ac:dyDescent="0.3">
      <c r="A19" s="4" t="s">
        <v>57</v>
      </c>
      <c r="B19" s="5">
        <v>45519</v>
      </c>
      <c r="C19" s="4" t="s">
        <v>8</v>
      </c>
      <c r="D19" s="4" t="s">
        <v>2</v>
      </c>
      <c r="E19" s="4" t="s">
        <v>43</v>
      </c>
      <c r="F19" s="4" t="s">
        <v>24</v>
      </c>
      <c r="G19" s="2">
        <v>8</v>
      </c>
      <c r="H19" s="2">
        <v>20000</v>
      </c>
      <c r="I19" s="2">
        <v>4000</v>
      </c>
      <c r="J19" s="4" t="s">
        <v>25</v>
      </c>
    </row>
    <row r="20" spans="1:10" x14ac:dyDescent="0.3">
      <c r="A20" s="4" t="s">
        <v>58</v>
      </c>
      <c r="B20" s="5">
        <v>45595</v>
      </c>
      <c r="C20" s="4" t="s">
        <v>9</v>
      </c>
      <c r="D20" s="4" t="s">
        <v>4</v>
      </c>
      <c r="E20" s="4" t="s">
        <v>30</v>
      </c>
      <c r="F20" s="4" t="s">
        <v>27</v>
      </c>
      <c r="G20" s="2">
        <v>3</v>
      </c>
      <c r="H20" s="2">
        <v>45000</v>
      </c>
      <c r="I20" s="2">
        <v>7500</v>
      </c>
      <c r="J20" s="4" t="s">
        <v>31</v>
      </c>
    </row>
    <row r="21" spans="1:10" ht="28.8" x14ac:dyDescent="0.3">
      <c r="A21" s="4" t="s">
        <v>59</v>
      </c>
      <c r="B21" s="5">
        <v>45617</v>
      </c>
      <c r="C21" s="4" t="s">
        <v>10</v>
      </c>
      <c r="D21" s="4" t="s">
        <v>5</v>
      </c>
      <c r="E21" s="4" t="s">
        <v>29</v>
      </c>
      <c r="F21" s="4" t="s">
        <v>24</v>
      </c>
      <c r="G21" s="2">
        <v>3</v>
      </c>
      <c r="H21" s="2">
        <v>45000</v>
      </c>
      <c r="I21" s="2">
        <v>7500</v>
      </c>
      <c r="J21" s="4" t="s">
        <v>32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F737-CC0D-49F5-93B8-9BEA07BE3B87}">
  <dimension ref="B2:I5"/>
  <sheetViews>
    <sheetView tabSelected="1" topLeftCell="A5" zoomScale="62" workbookViewId="0">
      <selection activeCell="I23" sqref="I23"/>
    </sheetView>
  </sheetViews>
  <sheetFormatPr defaultRowHeight="14.4" x14ac:dyDescent="0.3"/>
  <cols>
    <col min="2" max="2" width="26.6640625" customWidth="1"/>
    <col min="4" max="4" width="27.44140625" customWidth="1"/>
    <col min="6" max="6" width="12" customWidth="1"/>
    <col min="8" max="8" width="11.77734375" customWidth="1"/>
  </cols>
  <sheetData>
    <row r="2" spans="2:9" ht="28.8" customHeight="1" x14ac:dyDescent="0.3">
      <c r="B2" s="10" t="s">
        <v>60</v>
      </c>
      <c r="C2" s="10"/>
      <c r="D2" s="10"/>
      <c r="E2" s="10"/>
      <c r="F2" s="10"/>
      <c r="G2" s="10"/>
      <c r="H2" s="10"/>
    </row>
    <row r="3" spans="2:9" x14ac:dyDescent="0.3">
      <c r="B3" s="10"/>
      <c r="C3" s="10"/>
      <c r="D3" s="10"/>
      <c r="E3" s="10"/>
      <c r="F3" s="10"/>
      <c r="G3" s="10"/>
      <c r="H3" s="10"/>
    </row>
    <row r="4" spans="2:9" x14ac:dyDescent="0.3">
      <c r="B4" s="11" t="s">
        <v>38</v>
      </c>
      <c r="C4" s="11"/>
      <c r="D4" s="11" t="s">
        <v>39</v>
      </c>
      <c r="E4" s="11"/>
      <c r="F4" s="11" t="s">
        <v>40</v>
      </c>
      <c r="G4" s="11"/>
      <c r="H4" s="11" t="s">
        <v>41</v>
      </c>
      <c r="I4" s="11"/>
    </row>
    <row r="5" spans="2:9" ht="21" x14ac:dyDescent="0.4">
      <c r="B5" s="13">
        <f>SUM(SalesData[Sales])</f>
        <v>815000</v>
      </c>
      <c r="D5" s="13">
        <f>SUM(SalesData[Profit])</f>
        <v>134200</v>
      </c>
      <c r="F5" s="12">
        <f>SUM(SalesData[Quantity])</f>
        <v>100</v>
      </c>
      <c r="H5" s="12">
        <f>COUNTA(SalesData[Order ID])</f>
        <v>20</v>
      </c>
    </row>
  </sheetData>
  <mergeCells count="5">
    <mergeCell ref="B4:C4"/>
    <mergeCell ref="D4:E4"/>
    <mergeCell ref="F4:G4"/>
    <mergeCell ref="H4:I4"/>
    <mergeCell ref="B2: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Sheet6</vt:lpstr>
      <vt:lpstr>Sheet4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Ashith Shetty</dc:creator>
  <cp:lastModifiedBy>Ashith Shetty</cp:lastModifiedBy>
  <dcterms:created xsi:type="dcterms:W3CDTF">2026-09-23T05:32:02Z</dcterms:created>
  <dcterms:modified xsi:type="dcterms:W3CDTF">2026-09-23T07:34:27Z</dcterms:modified>
</cp:coreProperties>
</file>